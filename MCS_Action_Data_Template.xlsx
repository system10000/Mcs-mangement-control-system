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Plants" sheetId="1" state="visible" r:id="rId3"/>
    <sheet name="Departments" sheetId="2" state="visible" r:id="rId4"/>
    <sheet name="Roles" sheetId="3" state="visible" r:id="rId5"/>
    <sheet name="Users" sheetId="4" state="visible" r:id="rId6"/>
    <sheet name="Machines" sheetId="5" state="visible" r:id="rId7"/>
    <sheet name="Projects" sheetId="6" state="visible" r:id="rId8"/>
    <sheet name="Meeting Presets" sheetId="7" state="visible" r:id="rId9"/>
    <sheet name="Reasons" sheetId="8" state="visible" r:id="rId10"/>
    <sheet name="Project Milestones" sheetId="9" state="visible" r:id="rId11"/>
    <sheet name="Meetings" sheetId="10" state="visible" r:id="rId12"/>
    <sheet name="Escalation Matrix" sheetId="11" state="visible" r:id="rId13"/>
    <sheet name="Escalation Priorities" sheetId="12" state="visible" r:id="rId14"/>
    <sheet name="Actions" sheetId="13" state="visible" r:id="rId15"/>
    <sheet name="Action Messages" sheetId="14" state="visible" r:id="rId16"/>
    <sheet name="User Sessions" sheetId="15" state="visible" r:id="rId17"/>
    <sheet name="Audit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<sst xmlns="http://schemas.openxmlformats.org/spreadsheetml/2006/main" count="317" uniqueCount="204">
  <si>
    <t xml:space="preserve">ID</t>
  </si>
  <si>
    <t xml:space="preserve">Name</t>
  </si>
  <si>
    <t xml:space="preserve">Location</t>
  </si>
  <si>
    <t xml:space="preserve">Head</t>
  </si>
  <si>
    <t xml:space="preserve">PLT001</t>
  </si>
  <si>
    <t xml:space="preserve">MCS Plant 1</t>
  </si>
  <si>
    <t xml:space="preserve">Location A</t>
  </si>
  <si>
    <t xml:space="preserve">Head Person 1</t>
  </si>
  <si>
    <t xml:space="preserve">PLT002</t>
  </si>
  <si>
    <t xml:space="preserve">MCS Plant 2</t>
  </si>
  <si>
    <t xml:space="preserve">Location B</t>
  </si>
  <si>
    <t xml:space="preserve">Head Person 2</t>
  </si>
  <si>
    <t xml:space="preserve">Plant ID</t>
  </si>
  <si>
    <t xml:space="preserve">Icon</t>
  </si>
  <si>
    <t xml:space="preserve">DEPT001</t>
  </si>
  <si>
    <t xml:space="preserve">Production</t>
  </si>
  <si>
    <t xml:space="preserve">Dept Head 1</t>
  </si>
  <si>
    <t xml:space="preserve">🏭</t>
  </si>
  <si>
    <t xml:space="preserve">DEPT002</t>
  </si>
  <si>
    <t xml:space="preserve">Maintenance</t>
  </si>
  <si>
    <t xml:space="preserve">Dept Head 2</t>
  </si>
  <si>
    <t xml:space="preserve">🔧</t>
  </si>
  <si>
    <t xml:space="preserve">DEPT003</t>
  </si>
  <si>
    <t xml:space="preserve">Quality</t>
  </si>
  <si>
    <t xml:space="preserve">Dept Head 3</t>
  </si>
  <si>
    <t xml:space="preserve">✅</t>
  </si>
  <si>
    <t xml:space="preserve">Level</t>
  </si>
  <si>
    <t xml:space="preserve">ROLE001</t>
  </si>
  <si>
    <t xml:space="preserve">Admin</t>
  </si>
  <si>
    <t xml:space="preserve">ROLE002</t>
  </si>
  <si>
    <t xml:space="preserve">Manager</t>
  </si>
  <si>
    <t xml:space="preserve">ROLE003</t>
  </si>
  <si>
    <t xml:space="preserve">Supervisor</t>
  </si>
  <si>
    <t xml:space="preserve">ROLE004</t>
  </si>
  <si>
    <t xml:space="preserve">Operator</t>
  </si>
  <si>
    <t xml:space="preserve">Username</t>
  </si>
  <si>
    <t xml:space="preserve">Password</t>
  </si>
  <si>
    <t xml:space="preserve">Role</t>
  </si>
  <si>
    <t xml:space="preserve">Dept ID</t>
  </si>
  <si>
    <t xml:space="preserve">Superior</t>
  </si>
  <si>
    <t xml:space="preserve">Phone</t>
  </si>
  <si>
    <t xml:space="preserve">Email</t>
  </si>
  <si>
    <t xml:space="preserve">Initials</t>
  </si>
  <si>
    <t xml:space="preserve">Color</t>
  </si>
  <si>
    <t xml:space="preserve">Is Active</t>
  </si>
  <si>
    <t xml:space="preserve">Master Access</t>
  </si>
  <si>
    <t xml:space="preserve">USR001</t>
  </si>
  <si>
    <t xml:space="preserve">John Doe</t>
  </si>
  <si>
    <t xml:space="preserve">john.doe</t>
  </si>
  <si>
    <t xml:space="preserve">password123</t>
  </si>
  <si>
    <t xml:space="preserve">Superior 1</t>
  </si>
  <si>
    <t xml:space="preserve">1234567890</t>
  </si>
  <si>
    <t xml:space="preserve">john@example.com</t>
  </si>
  <si>
    <t xml:space="preserve">JD</t>
  </si>
  <si>
    <t xml:space="preserve">#7C80B0</t>
  </si>
  <si>
    <t xml:space="preserve">USR002</t>
  </si>
  <si>
    <t xml:space="preserve">Jane Smith</t>
  </si>
  <si>
    <t xml:space="preserve">jane.smith</t>
  </si>
  <si>
    <t xml:space="preserve">Superior 2</t>
  </si>
  <si>
    <t xml:space="preserve">0987654321</t>
  </si>
  <si>
    <t xml:space="preserve">jane@example.com</t>
  </si>
  <si>
    <t xml:space="preserve">JS</t>
  </si>
  <si>
    <t xml:space="preserve">#5B8FF9</t>
  </si>
  <si>
    <t xml:space="preserve">Type</t>
  </si>
  <si>
    <t xml:space="preserve">Asset No</t>
  </si>
  <si>
    <t xml:space="preserve">MCH001</t>
  </si>
  <si>
    <t xml:space="preserve">CNC Machine 1</t>
  </si>
  <si>
    <t xml:space="preserve">CNC</t>
  </si>
  <si>
    <t xml:space="preserve">AST001</t>
  </si>
  <si>
    <t xml:space="preserve">MCH002</t>
  </si>
  <si>
    <t xml:space="preserve">Lathe Machine 1</t>
  </si>
  <si>
    <t xml:space="preserve">Lathe</t>
  </si>
  <si>
    <t xml:space="preserve">AST002</t>
  </si>
  <si>
    <t xml:space="preserve">Status</t>
  </si>
  <si>
    <t xml:space="preserve">Owner</t>
  </si>
  <si>
    <t xml:space="preserve">Sponsor</t>
  </si>
  <si>
    <t xml:space="preserve">Start Date</t>
  </si>
  <si>
    <t xml:space="preserve">End Date</t>
  </si>
  <si>
    <t xml:space="preserve">Progress</t>
  </si>
  <si>
    <t xml:space="preserve">Priority</t>
  </si>
  <si>
    <t xml:space="preserve">Objective</t>
  </si>
  <si>
    <t xml:space="preserve">Scope</t>
  </si>
  <si>
    <t xml:space="preserve">Budget</t>
  </si>
  <si>
    <t xml:space="preserve">Description</t>
  </si>
  <si>
    <t xml:space="preserve">Risks</t>
  </si>
  <si>
    <t xml:space="preserve">Team</t>
  </si>
  <si>
    <t xml:space="preserve">PRJ001</t>
  </si>
  <si>
    <t xml:space="preserve">Project Alpha</t>
  </si>
  <si>
    <t xml:space="preserve">IN PROGRESS</t>
  </si>
  <si>
    <t xml:space="preserve">2026-01-01</t>
  </si>
  <si>
    <t xml:space="preserve">2026-06-30</t>
  </si>
  <si>
    <t xml:space="preserve">HIGH</t>
  </si>
  <si>
    <t xml:space="preserve">Improve production efficiency</t>
  </si>
  <si>
    <t xml:space="preserve">Full plant scope</t>
  </si>
  <si>
    <t xml:space="preserve">Complete overhaul</t>
  </si>
  <si>
    <t xml:space="preserve">[]</t>
  </si>
  <si>
    <t xml:space="preserve">Attendees</t>
  </si>
  <si>
    <t xml:space="preserve">Instructions</t>
  </si>
  <si>
    <t xml:space="preserve">Text</t>
  </si>
  <si>
    <t xml:space="preserve">Category</t>
  </si>
  <si>
    <t xml:space="preserve">RSN001</t>
  </si>
  <si>
    <t xml:space="preserve">Equipment Breakdown</t>
  </si>
  <si>
    <t xml:space="preserve">RSN002</t>
  </si>
  <si>
    <t xml:space="preserve">Quality Issue</t>
  </si>
  <si>
    <t xml:space="preserve">RSN003</t>
  </si>
  <si>
    <t xml:space="preserve">Process Deviation</t>
  </si>
  <si>
    <t xml:space="preserve">Project ID</t>
  </si>
  <si>
    <t xml:space="preserve">Due Date</t>
  </si>
  <si>
    <t xml:space="preserve">Done</t>
  </si>
  <si>
    <t xml:space="preserve">Order</t>
  </si>
  <si>
    <t xml:space="preserve">Date</t>
  </si>
  <si>
    <t xml:space="preserve">Time</t>
  </si>
  <si>
    <t xml:space="preserve">Duration</t>
  </si>
  <si>
    <t xml:space="preserve">Action Count</t>
  </si>
  <si>
    <t xml:space="preserve">Notes</t>
  </si>
  <si>
    <t xml:space="preserve">Facilitator</t>
  </si>
  <si>
    <t xml:space="preserve">Recurring</t>
  </si>
  <si>
    <t xml:space="preserve">Recurrence</t>
  </si>
  <si>
    <t xml:space="preserve">Completed Sessions</t>
  </si>
  <si>
    <t xml:space="preserve">Guidelines</t>
  </si>
  <si>
    <t xml:space="preserve">Scheduled Days</t>
  </si>
  <si>
    <t xml:space="preserve">MTG001</t>
  </si>
  <si>
    <t xml:space="preserve">Weekly Production Review</t>
  </si>
  <si>
    <t xml:space="preserve">Production Review</t>
  </si>
  <si>
    <t xml:space="preserve">2026-08-25</t>
  </si>
  <si>
    <t xml:space="preserve">10:00</t>
  </si>
  <si>
    <t xml:space="preserve">SCHEDULED</t>
  </si>
  <si>
    <t xml:space="preserve">["USR001", "USR002"]</t>
  </si>
  <si>
    <t xml:space="preserve">Weekly review meeting notes</t>
  </si>
  <si>
    <t xml:space="preserve">Weekly</t>
  </si>
  <si>
    <t xml:space="preserve">Label</t>
  </si>
  <si>
    <t xml:space="preserve">From User</t>
  </si>
  <si>
    <t xml:space="preserve">Target User</t>
  </si>
  <si>
    <t xml:space="preserve">From Role</t>
  </si>
  <si>
    <t xml:space="preserve">Target Role</t>
  </si>
  <si>
    <t xml:space="preserve">Overdue Days</t>
  </si>
  <si>
    <t xml:space="preserve">Overdue Hrs</t>
  </si>
  <si>
    <t xml:space="preserve">Notify Method</t>
  </si>
  <si>
    <t xml:space="preserve">Applicable To</t>
  </si>
  <si>
    <t xml:space="preserve">Priorities</t>
  </si>
  <si>
    <t xml:space="preserve">Active</t>
  </si>
  <si>
    <t xml:space="preserve">ESC001</t>
  </si>
  <si>
    <t xml:space="preserve">Level 1 - Supervisor</t>
  </si>
  <si>
    <t xml:space="preserve">All</t>
  </si>
  <si>
    <t xml:space="preserve">["HIGH", "CRITICAL"]</t>
  </si>
  <si>
    <t xml:space="preserve">#FFA500</t>
  </si>
  <si>
    <t xml:space="preserve">First level escalation</t>
  </si>
  <si>
    <t xml:space="preserve">Escalation ID</t>
  </si>
  <si>
    <t xml:space="preserve">SN</t>
  </si>
  <si>
    <t xml:space="preserve">Responsible User ID</t>
  </si>
  <si>
    <t xml:space="preserve">Responsible</t>
  </si>
  <si>
    <t xml:space="preserve">Due</t>
  </si>
  <si>
    <t xml:space="preserve">Section</t>
  </si>
  <si>
    <t xml:space="preserve">Source</t>
  </si>
  <si>
    <t xml:space="preserve">Machine ID</t>
  </si>
  <si>
    <t xml:space="preserve">Machine Name</t>
  </si>
  <si>
    <t xml:space="preserve">Reason ID</t>
  </si>
  <si>
    <t xml:space="preserve">Reason</t>
  </si>
  <si>
    <t xml:space="preserve">Reason of Action</t>
  </si>
  <si>
    <t xml:space="preserve">Action Point Type</t>
  </si>
  <si>
    <t xml:space="preserve">Remarks</t>
  </si>
  <si>
    <t xml:space="preserve">Date of Action</t>
  </si>
  <si>
    <t xml:space="preserve">Created</t>
  </si>
  <si>
    <t xml:space="preserve">Closed On</t>
  </si>
  <si>
    <t xml:space="preserve">Closed By</t>
  </si>
  <si>
    <t xml:space="preserve">Allocated By</t>
  </si>
  <si>
    <t xml:space="preserve">Project Name</t>
  </si>
  <si>
    <t xml:space="preserve">SRC</t>
  </si>
  <si>
    <t xml:space="preserve">SRC ID</t>
  </si>
  <si>
    <t xml:space="preserve">Meeting ID</t>
  </si>
  <si>
    <t xml:space="preserve">Meeting Name</t>
  </si>
  <si>
    <t xml:space="preserve">Revisions</t>
  </si>
  <si>
    <t xml:space="preserve">Revision History</t>
  </si>
  <si>
    <t xml:space="preserve">Pending Confirmation</t>
  </si>
  <si>
    <t xml:space="preserve">Version</t>
  </si>
  <si>
    <t xml:space="preserve">Attachments</t>
  </si>
  <si>
    <t xml:space="preserve">ACT001</t>
  </si>
  <si>
    <t xml:space="preserve">MCS-2026-001</t>
  </si>
  <si>
    <t xml:space="preserve">Fix CNC Machine 1 motor issue</t>
  </si>
  <si>
    <t xml:space="preserve">2026-08-30</t>
  </si>
  <si>
    <t xml:space="preserve">Meeting</t>
  </si>
  <si>
    <t xml:space="preserve">Breakdown</t>
  </si>
  <si>
    <t xml:space="preserve">Corrective</t>
  </si>
  <si>
    <t xml:space="preserve">Motor overheating detected</t>
  </si>
  <si>
    <t xml:space="preserve">Action ID</t>
  </si>
  <si>
    <t xml:space="preserve">Source Msg ID</t>
  </si>
  <si>
    <t xml:space="preserve">Author</t>
  </si>
  <si>
    <t xml:space="preserve">Author Initials</t>
  </si>
  <si>
    <t xml:space="preserve">Author Color</t>
  </si>
  <si>
    <t xml:space="preserve">Timestamp</t>
  </si>
  <si>
    <t xml:space="preserve">Motor issue identified during inspection</t>
  </si>
  <si>
    <t xml:space="preserve">2026-08-25 10:30:00</t>
  </si>
  <si>
    <t xml:space="preserve">Spare parts ordered, expected delivery tomorrow</t>
  </si>
  <si>
    <t xml:space="preserve">2026-08-25 14:00:00</t>
  </si>
  <si>
    <t xml:space="preserve">User ID</t>
  </si>
  <si>
    <t xml:space="preserve">Token JTI</t>
  </si>
  <si>
    <t xml:space="preserve">Device</t>
  </si>
  <si>
    <t xml:space="preserve">Browser</t>
  </si>
  <si>
    <t xml:space="preserve">IP</t>
  </si>
  <si>
    <t xml:space="preserve">Created At</t>
  </si>
  <si>
    <t xml:space="preserve">Last Seen</t>
  </si>
  <si>
    <t xml:space="preserve">Is Current</t>
  </si>
  <si>
    <t xml:space="preserve">Action SN</t>
  </si>
  <si>
    <t xml:space="preserve">Target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</si>
</sst>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30"/>
    <col collapsed="false" customWidth="true" hidden="false" outlineLevel="0" max="4" min="4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25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12</v>
      </c>
      <c r="D1" s="1" t="s">
        <v>3</v>
      </c>
      <c r="E1" s="1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4</v>
      </c>
      <c r="D2" s="0" t="s">
        <v>16</v>
      </c>
      <c r="E2" s="0" t="s">
        <v>17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4</v>
      </c>
      <c r="D3" s="0" t="s">
        <v>20</v>
      </c>
      <c r="E3" s="0" t="s">
        <v>21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4</v>
      </c>
      <c r="D4" s="0" t="s">
        <v>24</v>
      </c>
      <c r="E4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n">
        <v>1</v>
      </c>
    </row>
    <row r="3" customFormat="false" ht="15" hidden="false" customHeight="false" outlineLevel="0" collapsed="false">
      <c r="A3" s="0" t="s">
        <v>29</v>
      </c>
      <c r="B3" s="0" t="s">
        <v>30</v>
      </c>
      <c r="C3" s="0" t="n">
        <v>2</v>
      </c>
    </row>
    <row r="4" customFormat="false" ht="15" hidden="false" customHeight="false" outlineLevel="0" collapsed="false">
      <c r="A4" s="0" t="s">
        <v>31</v>
      </c>
      <c r="B4" s="0" t="s">
        <v>32</v>
      </c>
      <c r="C4" s="0" t="n">
        <v>3</v>
      </c>
    </row>
    <row r="5" customFormat="false" ht="15" hidden="false" customHeight="false" outlineLevel="0" collapsed="false">
      <c r="A5" s="0" t="s">
        <v>33</v>
      </c>
      <c r="B5" s="0" t="s">
        <v>34</v>
      </c>
      <c r="C5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5" min="3" style="0" width="20"/>
    <col collapsed="false" customWidth="true" hidden="false" outlineLevel="0" max="7" min="6" style="0" width="15"/>
    <col collapsed="false" customWidth="true" hidden="false" outlineLevel="0" max="8" min="8" style="0" width="25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2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12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customFormat="false" ht="15" hidden="false" customHeight="false" outlineLevel="0" collapsed="false">
      <c r="A2" s="0" t="s">
        <v>46</v>
      </c>
      <c r="B2" s="0" t="s">
        <v>47</v>
      </c>
      <c r="C2" s="0" t="s">
        <v>48</v>
      </c>
      <c r="D2" s="0" t="s">
        <v>49</v>
      </c>
      <c r="E2" s="0" t="s">
        <v>28</v>
      </c>
      <c r="F2" s="0" t="s">
        <v>4</v>
      </c>
      <c r="G2" s="0" t="s">
        <v>14</v>
      </c>
      <c r="H2" s="0" t="s">
        <v>50</v>
      </c>
      <c r="I2" s="0" t="s">
        <v>51</v>
      </c>
      <c r="J2" s="0" t="s">
        <v>52</v>
      </c>
      <c r="K2" s="0" t="s">
        <v>53</v>
      </c>
      <c r="L2" s="0" t="s">
        <v>54</v>
      </c>
      <c r="M2" s="2" t="b">
        <f aca="false">TRUE()</f>
        <v>1</v>
      </c>
      <c r="N2" s="2" t="b">
        <f aca="false">TRUE()</f>
        <v>1</v>
      </c>
    </row>
    <row r="3" customFormat="false" ht="15" hidden="false" customHeight="false" outlineLevel="0" collapsed="false">
      <c r="A3" s="0" t="s">
        <v>55</v>
      </c>
      <c r="B3" s="0" t="s">
        <v>56</v>
      </c>
      <c r="C3" s="0" t="s">
        <v>57</v>
      </c>
      <c r="D3" s="0" t="s">
        <v>49</v>
      </c>
      <c r="E3" s="0" t="s">
        <v>30</v>
      </c>
      <c r="F3" s="0" t="s">
        <v>4</v>
      </c>
      <c r="G3" s="0" t="s">
        <v>14</v>
      </c>
      <c r="H3" s="0" t="s">
        <v>58</v>
      </c>
      <c r="I3" s="0" t="s">
        <v>59</v>
      </c>
      <c r="J3" s="0" t="s">
        <v>60</v>
      </c>
      <c r="K3" s="0" t="s">
        <v>61</v>
      </c>
      <c r="L3" s="0" t="s">
        <v>62</v>
      </c>
      <c r="M3" s="2" t="b">
        <f aca="false">TRUE()</f>
        <v>1</v>
      </c>
      <c r="N3" s="2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4" min="3" style="0" width="15"/>
    <col collapsed="false" customWidth="true" hidden="false" outlineLevel="0" max="6" min="5" style="0" width="2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12</v>
      </c>
      <c r="D1" s="1" t="s">
        <v>38</v>
      </c>
      <c r="E1" s="1" t="s">
        <v>63</v>
      </c>
      <c r="F1" s="1" t="s">
        <v>64</v>
      </c>
      <c r="G1" s="1" t="s">
        <v>44</v>
      </c>
    </row>
    <row r="2" customFormat="false" ht="15" hidden="false" customHeight="false" outlineLevel="0" collapsed="false">
      <c r="A2" s="0" t="s">
        <v>65</v>
      </c>
      <c r="B2" s="0" t="s">
        <v>66</v>
      </c>
      <c r="C2" s="0" t="s">
        <v>4</v>
      </c>
      <c r="D2" s="0" t="s">
        <v>18</v>
      </c>
      <c r="E2" s="0" t="s">
        <v>67</v>
      </c>
      <c r="F2" s="0" t="s">
        <v>68</v>
      </c>
      <c r="G2" s="2" t="b">
        <f aca="false">TRUE()</f>
        <v>1</v>
      </c>
    </row>
    <row r="3" customFormat="false" ht="15" hidden="false" customHeight="false" outlineLevel="0" collapsed="false">
      <c r="A3" s="0" t="s">
        <v>69</v>
      </c>
      <c r="B3" s="0" t="s">
        <v>70</v>
      </c>
      <c r="C3" s="0" t="s">
        <v>4</v>
      </c>
      <c r="D3" s="0" t="s">
        <v>18</v>
      </c>
      <c r="E3" s="0" t="s">
        <v>71</v>
      </c>
      <c r="F3" s="0" t="s">
        <v>72</v>
      </c>
      <c r="G3" s="2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5" min="3" style="0" width="15"/>
    <col collapsed="false" customWidth="true" hidden="false" outlineLevel="0" max="7" min="6" style="0" width="25"/>
    <col collapsed="false" customWidth="true" hidden="false" outlineLevel="0" max="9" min="8" style="0" width="15"/>
    <col collapsed="false" customWidth="true" hidden="false" outlineLevel="0" max="11" min="10" style="0" width="12"/>
    <col collapsed="false" customWidth="true" hidden="false" outlineLevel="0" max="13" min="12" style="0" width="40"/>
    <col collapsed="false" customWidth="true" hidden="false" outlineLevel="0" max="14" min="14" style="0" width="15"/>
    <col collapsed="false" customWidth="true" hidden="false" outlineLevel="0" max="17" min="15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12</v>
      </c>
      <c r="D1" s="1" t="s">
        <v>38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</row>
    <row r="2" customFormat="false" ht="15" hidden="false" customHeight="false" outlineLevel="0" collapsed="false">
      <c r="A2" s="0" t="s">
        <v>86</v>
      </c>
      <c r="B2" s="0" t="s">
        <v>87</v>
      </c>
      <c r="C2" s="0" t="s">
        <v>4</v>
      </c>
      <c r="D2" s="0" t="s">
        <v>14</v>
      </c>
      <c r="E2" s="0" t="s">
        <v>88</v>
      </c>
      <c r="F2" s="0" t="s">
        <v>47</v>
      </c>
      <c r="G2" s="0" t="s">
        <v>56</v>
      </c>
      <c r="H2" s="0" t="s">
        <v>89</v>
      </c>
      <c r="I2" s="0" t="s">
        <v>90</v>
      </c>
      <c r="J2" s="0" t="n">
        <v>45</v>
      </c>
      <c r="K2" s="0" t="s">
        <v>91</v>
      </c>
      <c r="L2" s="0" t="s">
        <v>92</v>
      </c>
      <c r="M2" s="0" t="s">
        <v>93</v>
      </c>
      <c r="N2" s="0" t="n">
        <v>50000</v>
      </c>
      <c r="O2" s="0" t="s">
        <v>94</v>
      </c>
      <c r="P2" s="0" t="s">
        <v>95</v>
      </c>
      <c r="Q2" s="0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50"/>
  </cols>
  <sheetData>
    <row r="1" customFormat="false" ht="15" hidden="false" customHeight="false" outlineLevel="0" collapsed="false">
      <c r="A1" s="1" t="s">
        <v>63</v>
      </c>
      <c r="B1" s="1" t="s">
        <v>96</v>
      </c>
      <c r="C1" s="1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25"/>
  </cols>
  <sheetData>
    <row r="1" customFormat="false" ht="15" hidden="false" customHeight="false" outlineLevel="0" collapsed="false">
      <c r="A1" s="1" t="s">
        <v>0</v>
      </c>
      <c r="B1" s="1" t="s">
        <v>98</v>
      </c>
      <c r="C1" s="1" t="s">
        <v>99</v>
      </c>
    </row>
    <row r="2" customFormat="false" ht="15" hidden="false" customHeight="false" outlineLevel="0" collapsed="false">
      <c r="A2" s="0" t="s">
        <v>100</v>
      </c>
      <c r="B2" s="0" t="s">
        <v>101</v>
      </c>
      <c r="C2" s="0" t="s">
        <v>19</v>
      </c>
    </row>
    <row r="3" customFormat="false" ht="15" hidden="false" customHeight="false" outlineLevel="0" collapsed="false">
      <c r="A3" s="0" t="s">
        <v>102</v>
      </c>
      <c r="B3" s="0" t="s">
        <v>103</v>
      </c>
      <c r="C3" s="0" t="s">
        <v>23</v>
      </c>
    </row>
    <row r="4" customFormat="false" ht="15" hidden="false" customHeight="false" outlineLevel="0" collapsed="false">
      <c r="A4" s="0" t="s">
        <v>104</v>
      </c>
      <c r="B4" s="0" t="s">
        <v>105</v>
      </c>
      <c r="C4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6" min="5" style="0" width="10"/>
  </cols>
  <sheetData>
    <row r="1" customFormat="false" ht="15" hidden="false" customHeight="false" outlineLevel="0" collapsed="false">
      <c r="A1" s="1" t="s">
        <v>0</v>
      </c>
      <c r="B1" s="1" t="s">
        <v>106</v>
      </c>
      <c r="C1" s="1" t="s">
        <v>1</v>
      </c>
      <c r="D1" s="1" t="s">
        <v>107</v>
      </c>
      <c r="E1" s="1" t="s">
        <v>108</v>
      </c>
      <c r="F1" s="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50"/>
    <col collapsed="false" customWidth="true" hidden="false" outlineLevel="0" max="10" min="9" style="0" width="12"/>
    <col collapsed="false" customWidth="true" hidden="false" outlineLevel="0" max="11" min="11" style="0" width="50"/>
    <col collapsed="false" customWidth="true" hidden="false" outlineLevel="0" max="12" min="12" style="0" width="25"/>
    <col collapsed="false" customWidth="true" hidden="false" outlineLevel="0" max="13" min="13" style="0" width="12"/>
    <col collapsed="false" customWidth="true" hidden="false" outlineLevel="0" max="15" min="14" style="0" width="15"/>
    <col collapsed="false" customWidth="true" hidden="false" outlineLevel="0" max="17" min="16" style="0" width="50"/>
    <col collapsed="false" customWidth="true" hidden="false" outlineLevel="0" max="18" min="18" style="0" width="30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63</v>
      </c>
      <c r="D1" s="1" t="s">
        <v>12</v>
      </c>
      <c r="E1" s="1" t="s">
        <v>110</v>
      </c>
      <c r="F1" s="1" t="s">
        <v>111</v>
      </c>
      <c r="G1" s="1" t="s">
        <v>73</v>
      </c>
      <c r="H1" s="1" t="s">
        <v>96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106</v>
      </c>
      <c r="P1" s="1" t="s">
        <v>118</v>
      </c>
      <c r="Q1" s="1" t="s">
        <v>119</v>
      </c>
      <c r="R1" s="1" t="s">
        <v>120</v>
      </c>
    </row>
    <row r="2" customFormat="false" ht="15" hidden="false" customHeight="false" outlineLevel="0" collapsed="false">
      <c r="A2" s="0" t="s">
        <v>121</v>
      </c>
      <c r="B2" s="0" t="s">
        <v>122</v>
      </c>
      <c r="C2" s="0" t="s">
        <v>123</v>
      </c>
      <c r="D2" s="0" t="s">
        <v>4</v>
      </c>
      <c r="E2" s="0" t="s">
        <v>124</v>
      </c>
      <c r="F2" s="0" t="s">
        <v>125</v>
      </c>
      <c r="G2" s="0" t="s">
        <v>126</v>
      </c>
      <c r="H2" s="0" t="s">
        <v>127</v>
      </c>
      <c r="I2" s="0" t="n">
        <v>60</v>
      </c>
      <c r="J2" s="0" t="n">
        <v>5</v>
      </c>
      <c r="K2" s="0" t="s">
        <v>128</v>
      </c>
      <c r="L2" s="0" t="s">
        <v>47</v>
      </c>
      <c r="M2" s="2" t="b">
        <f aca="false">TRUE()</f>
        <v>1</v>
      </c>
      <c r="N2" s="0" t="s">
        <v>129</v>
      </c>
      <c r="O2" s="0" t="s">
        <v>86</v>
      </c>
      <c r="P2" s="0" t="s">
        <v>95</v>
      </c>
      <c r="Q2" s="0" t="s">
        <v>95</v>
      </c>
      <c r="R2" s="0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5" min="4" style="0" width="25"/>
    <col collapsed="false" customWidth="true" hidden="false" outlineLevel="0" max="7" min="6" style="0" width="20"/>
    <col collapsed="false" customWidth="true" hidden="false" outlineLevel="0" max="9" min="8" style="0" width="12"/>
    <col collapsed="false" customWidth="true" hidden="false" outlineLevel="0" max="10" min="10" style="0" width="20"/>
    <col collapsed="false" customWidth="true" hidden="false" outlineLevel="0" max="11" min="11" style="0" width="15"/>
    <col collapsed="false" customWidth="true" hidden="false" outlineLevel="0" max="12" min="12" style="0" width="40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40"/>
  </cols>
  <sheetData>
    <row r="1" customFormat="false" ht="28.35" hidden="false" customHeight="false" outlineLevel="0" collapsed="false">
      <c r="A1" s="1" t="s">
        <v>0</v>
      </c>
      <c r="B1" s="1" t="s">
        <v>26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43</v>
      </c>
      <c r="N1" s="1" t="s">
        <v>140</v>
      </c>
      <c r="O1" s="1" t="s">
        <v>83</v>
      </c>
    </row>
    <row r="2" customFormat="false" ht="15" hidden="false" customHeight="false" outlineLevel="0" collapsed="false">
      <c r="A2" s="0" t="s">
        <v>141</v>
      </c>
      <c r="B2" s="0" t="n">
        <v>1</v>
      </c>
      <c r="C2" s="0" t="s">
        <v>142</v>
      </c>
      <c r="D2" s="0" t="s">
        <v>34</v>
      </c>
      <c r="E2" s="0" t="s">
        <v>32</v>
      </c>
      <c r="F2" s="0" t="s">
        <v>34</v>
      </c>
      <c r="G2" s="0" t="s">
        <v>32</v>
      </c>
      <c r="H2" s="0" t="n">
        <v>1</v>
      </c>
      <c r="I2" s="0" t="n">
        <v>0</v>
      </c>
      <c r="J2" s="0" t="s">
        <v>41</v>
      </c>
      <c r="K2" s="0" t="s">
        <v>143</v>
      </c>
      <c r="L2" s="0" t="s">
        <v>144</v>
      </c>
      <c r="M2" s="0" t="s">
        <v>145</v>
      </c>
      <c r="N2" s="2" t="b">
        <f aca="false">TRUE()</f>
        <v>1</v>
      </c>
      <c r="O2" s="0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147</v>
      </c>
      <c r="B1" s="1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50"/>
    <col collapsed="false" customWidth="true" hidden="false" outlineLevel="0" max="4" min="4" style="0" width="15"/>
    <col collapsed="false" customWidth="true" hidden="false" outlineLevel="0" max="5" min="5" style="0" width="25"/>
    <col collapsed="false" customWidth="true" hidden="false" outlineLevel="0" max="7" min="6" style="0" width="15"/>
    <col collapsed="false" customWidth="true" hidden="false" outlineLevel="0" max="8" min="8" style="0" width="12"/>
    <col collapsed="false" customWidth="true" hidden="false" outlineLevel="0" max="10" min="9" style="0" width="20"/>
    <col collapsed="false" customWidth="true" hidden="false" outlineLevel="0" max="13" min="11" style="0" width="15"/>
    <col collapsed="false" customWidth="true" hidden="false" outlineLevel="0" max="14" min="14" style="0" width="25"/>
    <col collapsed="false" customWidth="true" hidden="false" outlineLevel="0" max="15" min="15" style="0" width="15"/>
    <col collapsed="false" customWidth="true" hidden="false" outlineLevel="0" max="17" min="16" style="0" width="25"/>
    <col collapsed="false" customWidth="true" hidden="false" outlineLevel="0" max="18" min="18" style="0" width="20"/>
    <col collapsed="false" customWidth="true" hidden="false" outlineLevel="0" max="19" min="19" style="0" width="40"/>
    <col collapsed="false" customWidth="true" hidden="false" outlineLevel="0" max="22" min="20" style="0" width="15"/>
    <col collapsed="false" customWidth="true" hidden="false" outlineLevel="0" max="24" min="23" style="0" width="20"/>
    <col collapsed="false" customWidth="true" hidden="false" outlineLevel="0" max="25" min="25" style="0" width="15"/>
    <col collapsed="false" customWidth="true" hidden="false" outlineLevel="0" max="26" min="26" style="0" width="25"/>
    <col collapsed="false" customWidth="true" hidden="false" outlineLevel="0" max="29" min="27" style="0" width="15"/>
    <col collapsed="false" customWidth="true" hidden="false" outlineLevel="0" max="30" min="30" style="0" width="25"/>
    <col collapsed="false" customWidth="true" hidden="false" outlineLevel="0" max="31" min="31" style="0" width="12"/>
    <col collapsed="false" customWidth="true" hidden="false" outlineLevel="0" max="32" min="32" style="0" width="40"/>
    <col collapsed="false" customWidth="true" hidden="false" outlineLevel="0" max="33" min="33" style="0" width="15"/>
    <col collapsed="false" customWidth="true" hidden="false" outlineLevel="0" max="34" min="34" style="0" width="10"/>
    <col collapsed="false" customWidth="true" hidden="false" outlineLevel="0" max="35" min="35" style="0" width="40"/>
  </cols>
  <sheetData>
    <row r="1" customFormat="false" ht="28.35" hidden="false" customHeight="false" outlineLevel="0" collapsed="false">
      <c r="A1" s="1" t="s">
        <v>0</v>
      </c>
      <c r="B1" s="1" t="s">
        <v>148</v>
      </c>
      <c r="C1" s="1" t="s">
        <v>98</v>
      </c>
      <c r="D1" s="1" t="s">
        <v>149</v>
      </c>
      <c r="E1" s="1" t="s">
        <v>150</v>
      </c>
      <c r="F1" s="1" t="s">
        <v>151</v>
      </c>
      <c r="G1" s="1" t="s">
        <v>73</v>
      </c>
      <c r="H1" s="1" t="s">
        <v>79</v>
      </c>
      <c r="I1" s="1" t="s">
        <v>152</v>
      </c>
      <c r="J1" s="1" t="s">
        <v>153</v>
      </c>
      <c r="K1" s="1" t="s">
        <v>12</v>
      </c>
      <c r="L1" s="1" t="s">
        <v>38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161</v>
      </c>
      <c r="U1" s="1" t="s">
        <v>162</v>
      </c>
      <c r="V1" s="1" t="s">
        <v>163</v>
      </c>
      <c r="W1" s="1" t="s">
        <v>164</v>
      </c>
      <c r="X1" s="1" t="s">
        <v>165</v>
      </c>
      <c r="Y1" s="1" t="s">
        <v>106</v>
      </c>
      <c r="Z1" s="1" t="s">
        <v>166</v>
      </c>
      <c r="AA1" s="1" t="s">
        <v>167</v>
      </c>
      <c r="AB1" s="1" t="s">
        <v>168</v>
      </c>
      <c r="AC1" s="1" t="s">
        <v>169</v>
      </c>
      <c r="AD1" s="1" t="s">
        <v>170</v>
      </c>
      <c r="AE1" s="1" t="s">
        <v>171</v>
      </c>
      <c r="AF1" s="1" t="s">
        <v>172</v>
      </c>
      <c r="AG1" s="1" t="s">
        <v>173</v>
      </c>
      <c r="AH1" s="1" t="s">
        <v>174</v>
      </c>
      <c r="AI1" s="1" t="s">
        <v>175</v>
      </c>
    </row>
    <row r="2" customFormat="false" ht="15" hidden="false" customHeight="false" outlineLevel="0" collapsed="false">
      <c r="A2" s="0" t="s">
        <v>176</v>
      </c>
      <c r="B2" s="0" t="s">
        <v>177</v>
      </c>
      <c r="C2" s="0" t="s">
        <v>178</v>
      </c>
      <c r="D2" s="0" t="s">
        <v>46</v>
      </c>
      <c r="E2" s="0" t="s">
        <v>47</v>
      </c>
      <c r="F2" s="0" t="s">
        <v>179</v>
      </c>
      <c r="G2" s="0" t="s">
        <v>88</v>
      </c>
      <c r="H2" s="0" t="s">
        <v>91</v>
      </c>
      <c r="I2" s="0" t="s">
        <v>19</v>
      </c>
      <c r="J2" s="0" t="s">
        <v>180</v>
      </c>
      <c r="K2" s="0" t="s">
        <v>4</v>
      </c>
      <c r="L2" s="0" t="s">
        <v>18</v>
      </c>
      <c r="M2" s="0" t="s">
        <v>65</v>
      </c>
      <c r="N2" s="0" t="s">
        <v>66</v>
      </c>
      <c r="O2" s="0" t="s">
        <v>100</v>
      </c>
      <c r="P2" s="0" t="s">
        <v>101</v>
      </c>
      <c r="Q2" s="0" t="s">
        <v>181</v>
      </c>
      <c r="R2" s="0" t="s">
        <v>182</v>
      </c>
      <c r="S2" s="0" t="s">
        <v>183</v>
      </c>
      <c r="T2" s="0" t="s">
        <v>124</v>
      </c>
      <c r="U2" s="0" t="s">
        <v>124</v>
      </c>
      <c r="X2" s="0" t="s">
        <v>56</v>
      </c>
      <c r="Y2" s="0" t="s">
        <v>86</v>
      </c>
      <c r="Z2" s="0" t="s">
        <v>87</v>
      </c>
      <c r="AA2" s="0" t="s">
        <v>180</v>
      </c>
      <c r="AB2" s="0" t="s">
        <v>121</v>
      </c>
      <c r="AC2" s="0" t="s">
        <v>121</v>
      </c>
      <c r="AD2" s="0" t="s">
        <v>122</v>
      </c>
      <c r="AE2" s="0" t="n">
        <v>0</v>
      </c>
      <c r="AF2" s="0" t="s">
        <v>95</v>
      </c>
      <c r="AG2" s="2" t="b">
        <f aca="false">FALSE()</f>
        <v>0</v>
      </c>
      <c r="AH2" s="0" t="n">
        <v>1</v>
      </c>
      <c r="AI2" s="0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5"/>
    <col collapsed="false" customWidth="true" hidden="false" outlineLevel="0" max="4" min="4" style="0" width="25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50"/>
    <col collapsed="false" customWidth="true" hidden="false" outlineLevel="0" max="8" min="8" style="0" width="25"/>
  </cols>
  <sheetData>
    <row r="1" customFormat="false" ht="28.35" hidden="false" customHeight="false" outlineLevel="0" collapsed="false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98</v>
      </c>
      <c r="H1" s="1" t="s">
        <v>189</v>
      </c>
    </row>
    <row r="2" customFormat="false" ht="15" hidden="false" customHeight="false" outlineLevel="0" collapsed="false">
      <c r="A2" s="0" t="n">
        <v>1</v>
      </c>
      <c r="B2" s="0" t="s">
        <v>176</v>
      </c>
      <c r="D2" s="0" t="s">
        <v>47</v>
      </c>
      <c r="E2" s="0" t="s">
        <v>53</v>
      </c>
      <c r="F2" s="0" t="s">
        <v>54</v>
      </c>
      <c r="G2" s="0" t="s">
        <v>190</v>
      </c>
      <c r="H2" s="0" t="s">
        <v>191</v>
      </c>
    </row>
    <row r="3" customFormat="false" ht="15" hidden="false" customHeight="false" outlineLevel="0" collapsed="false">
      <c r="A3" s="0" t="n">
        <v>2</v>
      </c>
      <c r="B3" s="0" t="s">
        <v>176</v>
      </c>
      <c r="D3" s="0" t="s">
        <v>56</v>
      </c>
      <c r="E3" s="0" t="s">
        <v>61</v>
      </c>
      <c r="F3" s="0" t="s">
        <v>62</v>
      </c>
      <c r="G3" s="0" t="s">
        <v>192</v>
      </c>
      <c r="H3" s="0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5"/>
    <col collapsed="false" customWidth="true" hidden="false" outlineLevel="0" max="5" min="3" style="0" width="25"/>
    <col collapsed="false" customWidth="true" hidden="false" outlineLevel="0" max="6" min="6" style="0" width="20"/>
    <col collapsed="false" customWidth="true" hidden="false" outlineLevel="0" max="9" min="7" style="0" width="25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2</v>
      </c>
      <c r="H1" s="1" t="s">
        <v>199</v>
      </c>
      <c r="I1" s="1" t="s">
        <v>200</v>
      </c>
      <c r="J1" s="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4" min="3" style="0" width="15"/>
    <col collapsed="false" customWidth="true" hidden="false" outlineLevel="0" max="5" min="5" style="0" width="50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189</v>
      </c>
      <c r="C1" s="1" t="s">
        <v>202</v>
      </c>
      <c r="D1" s="1" t="s">
        <v>184</v>
      </c>
      <c r="E1" s="1" t="s">
        <v>98</v>
      </c>
      <c r="F1" s="1" t="s">
        <v>26</v>
      </c>
      <c r="G1" s="1" t="s">
        <v>203</v>
      </c>
      <c r="H1" s="1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2026-08-25T05:56:42Z</dcterms:created>
  <dc:creator>openpyxl</dc:creator>
  <dc:description/>
  <dc:language>en-IN</dc:language>
  <cp:lastModifiedBy/>
  <dcterms:modified xsi:type="dcterms:W3CDTF">2026-08-26T15:13:09Z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